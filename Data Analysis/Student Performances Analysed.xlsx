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520" tabRatio="500"/>
  </bookViews>
  <sheets>
    <sheet name="Student Data" sheetId="1" r:id="rId1"/>
    <sheet name="Chart Data" sheetId="2" state="hidden" r:id="rId2"/>
    <sheet name="Charts" sheetId="3" r:id="rId3"/>
    <sheet name="Summary &amp; Observ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<sst xmlns="http://schemas.openxmlformats.org/spreadsheetml/2006/main" count="115" uniqueCount="98">
  <si>
    <t>STUDENT ACADEMIC PERFORMANCE &amp; ATTENDANCE TRACKER — 2024/2025</t>
  </si>
  <si>
    <t>Student ID</t>
  </si>
  <si>
    <t>Student Name</t>
  </si>
  <si>
    <t>Class</t>
  </si>
  <si>
    <t>Math</t>
  </si>
  <si>
    <t>English</t>
  </si>
  <si>
    <t>Science</t>
  </si>
  <si>
    <t>History</t>
  </si>
  <si>
    <t>ICT</t>
  </si>
  <si>
    <t>Average Score</t>
  </si>
  <si>
    <t>Attendance %</t>
  </si>
  <si>
    <t>Grade</t>
  </si>
  <si>
    <t>Status</t>
  </si>
  <si>
    <t>S001</t>
  </si>
  <si>
    <t>Amara Okafor</t>
  </si>
  <si>
    <t>10A</t>
  </si>
  <si>
    <t>S002</t>
  </si>
  <si>
    <t>Chidi Eze</t>
  </si>
  <si>
    <t>S003</t>
  </si>
  <si>
    <t>Fatima Bello</t>
  </si>
  <si>
    <t>10B</t>
  </si>
  <si>
    <t>S004</t>
  </si>
  <si>
    <t>Emeka Nwosu</t>
  </si>
  <si>
    <t>S005</t>
  </si>
  <si>
    <t>Ngozi Adeyemi</t>
  </si>
  <si>
    <t>S006</t>
  </si>
  <si>
    <t>Tunde Fashola</t>
  </si>
  <si>
    <t>10C</t>
  </si>
  <si>
    <t>S007</t>
  </si>
  <si>
    <t>Aisha Mohammed</t>
  </si>
  <si>
    <t>S008</t>
  </si>
  <si>
    <t>Kelechi Onyeka</t>
  </si>
  <si>
    <t>S009</t>
  </si>
  <si>
    <t>Blessing Igwe</t>
  </si>
  <si>
    <t>S010</t>
  </si>
  <si>
    <t>Yusuf Abubakar</t>
  </si>
  <si>
    <t>S011</t>
  </si>
  <si>
    <t>Chioma Obi</t>
  </si>
  <si>
    <t>S012</t>
  </si>
  <si>
    <t>Adebayo Lawal</t>
  </si>
  <si>
    <t>S013</t>
  </si>
  <si>
    <t>Zainab Suleiman</t>
  </si>
  <si>
    <t>S014</t>
  </si>
  <si>
    <t>Ifeanyi Chukwu</t>
  </si>
  <si>
    <t>S015</t>
  </si>
  <si>
    <t>Oluwaseun Ade</t>
  </si>
  <si>
    <t>Avg Score</t>
  </si>
  <si>
    <t>Group</t>
  </si>
  <si>
    <t>Amara</t>
  </si>
  <si>
    <t>Top Performers Avg</t>
  </si>
  <si>
    <t>Chidi</t>
  </si>
  <si>
    <t>Bottom Performers Avg</t>
  </si>
  <si>
    <t>Fatima</t>
  </si>
  <si>
    <t>Emeka</t>
  </si>
  <si>
    <t>Ngozi</t>
  </si>
  <si>
    <t>Tunde</t>
  </si>
  <si>
    <t>Aisha</t>
  </si>
  <si>
    <t>Kelechi</t>
  </si>
  <si>
    <t>Blessing</t>
  </si>
  <si>
    <t>Yusuf</t>
  </si>
  <si>
    <t>Chioma</t>
  </si>
  <si>
    <t>Adebayo</t>
  </si>
  <si>
    <t>Zainab</t>
  </si>
  <si>
    <t>Ifeanyi</t>
  </si>
  <si>
    <t>Seun</t>
  </si>
  <si>
    <t>PERFORMANCE &amp; ATTENDANCE — VISUAL ANALYSIS</t>
  </si>
  <si>
    <t>SUMMARY, OBSERVATIONS &amp; REASON FOR ANALYSIS</t>
  </si>
  <si>
    <t>🔍  REASON FOR CHECKING</t>
  </si>
  <si>
    <t>Why this analysis?</t>
  </si>
  <si>
    <t>This study was conducted to explore the correlation between student attendance rates and academic performance. Research consistently shows that regular school attendance is one of the strongest predictors of academic success. By analysing this relationship, the school can identify students who are at risk of underperforming due to poor attendance and put timely support measures in place.</t>
  </si>
  <si>
    <t>Core Question</t>
  </si>
  <si>
    <t>Do students with higher attendance rates consistently achieve better scores across all subjects? And conversely, are students with low attendance disproportionately represented among low-performers?</t>
  </si>
  <si>
    <t>Methodology</t>
  </si>
  <si>
    <t>Student attendance data (percentage of school days attended) was collected alongside end-of-term scores in five subjects: Mathematics, English, Science, History, and ICT. An average score was computed for each student. Students were then categorised as 'Good Standing', 'Needs Monitoring', or 'At Risk' based on combined attendance and performance thresholds.</t>
  </si>
  <si>
    <t>📋  SUMMARY</t>
  </si>
  <si>
    <t>Overall Performance</t>
  </si>
  <si>
    <t>The class achieved an average score of approximately 69.5% across all subjects. Five students achieved an 'A' grade (80%+), with Aisha Mohammed and Zainab Suleiman leading the cohort. Three students are classified as 'At Risk', requiring urgent support.</t>
  </si>
  <si>
    <t>Attendance Overview</t>
  </si>
  <si>
    <t>Average class attendance stands at 81.7%. Zainab Suleiman recorded the highest attendance at 99%, while Blessing Igwe recorded the lowest at 60%. Eight out of 15 students maintain attendance above the recommended 80% threshold.</t>
  </si>
  <si>
    <t>Subject Performance</t>
  </si>
  <si>
    <t>History and English showed the widest variation between top and bottom performers. Science and Mathematics were consistently strong for high-attending students. ICT showed moderate variation across all performance groups.</t>
  </si>
  <si>
    <t>Grade Distribution</t>
  </si>
  <si>
    <t>A grade: 5 students (33%)  |  B grade: 3 students (20%)  |  C grade: 2 students (13%)  |  D grade: 3 students (20%)  |  F grade: 2 students (13%)</t>
  </si>
  <si>
    <t>Class Comparison</t>
  </si>
  <si>
    <t>Class 10C performed strongest overall, driven by Aisha Mohammed, Zainab Suleiman, and Yusuf Abubakar. Class 10A had the most at-risk students (2 out of 6 students), suggesting a need for class-level intervention.</t>
  </si>
  <si>
    <t>🔎  KEY OBSERVATIONS &amp; RECOMMENDATIONS</t>
  </si>
  <si>
    <t>Observation 1:
Strong Positive Correlation</t>
  </si>
  <si>
    <t>There is a clear positive relationship between attendance and academic performance. All five top-performing students (average score ≥ 83%) had attendance rates of 91% or above. This confirms that students who attend school consistently have significantly better outcomes.</t>
  </si>
  <si>
    <t>Observation 2:
At-Risk Students Cluster</t>
  </si>
  <si>
    <t>The three at-risk students (Emeka Nwosu, Blessing Igwe, and Adebayo Lawal) all have attendance rates below 70%. Their average scores range from 37% to 50%, well below the class average. Poor attendance appears to compound across all five subjects.</t>
  </si>
  <si>
    <t>Observation 3:
Attendance Threshold Effect</t>
  </si>
  <si>
    <t>Students with attendance above 85% averaged 87.1%, while those below 75% averaged only 50.8%. This suggests that an 80%+ attendance rate is a critical threshold for academic adequacy, and dipping below it significantly increases the risk of academic failure.</t>
  </si>
  <si>
    <t>Observation 4:
Gender &amp; Class Patterns</t>
  </si>
  <si>
    <t>Top performers include both male and female students, indicating no gender-based performance gap. However, Class 10A has the highest number of struggling students, which may point to class-level factors such as teaching style, timetabling, or student dynamics that need further review.</t>
  </si>
  <si>
    <t>Observation 5:
Subject-Specific Vulnerability</t>
  </si>
  <si>
    <t>At-risk students perform particularly poorly in Mathematics and English — the two foundational subjects. Targeted catch-up sessions in these areas could yield the greatest improvement in overall scores for underperforming students.</t>
  </si>
  <si>
    <t>Recommendation</t>
  </si>
  <si>
    <t>1. Implement an attendance monitoring alert system — notify parents/guardians when attendance falls below 80%.
2. Assign peer tutors or after-school support sessions for at-risk students in Maths &amp; English.
3. Schedule a parent-teacher meeting for the 3 at-risk students within the next two weeks.
4. Investigate class 10A environment to identify systemic barriers to performance.
5. Recognise and reward top performers to sustain motivation and set a positive example.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</si>
</sst>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
  </numFmts>
  <fonts count="28">
    <font>
      <sz val="11"/>
      <color theme="1"/>
      <name val="Calibri"/>
      <charset val="134"/>
    </font>
    <font>
      <b/>
      <sz val="14"/>
      <color rgb="FFFFFFFF"/>
      <name val="Arial"/>
      <charset val="134"/>
    </font>
    <font>
      <b/>
      <sz val="12"/>
      <color rgb="FFFFFFFF"/>
      <name val="Arial"/>
      <charset val="134"/>
    </font>
    <font>
      <b/>
      <sz val="10"/>
      <color rgb="FF1F3864"/>
      <name val="Arial"/>
      <charset val="134"/>
    </font>
    <font>
      <sz val="10"/>
      <color rgb="FF000000"/>
      <name val="Arial"/>
      <charset val="134"/>
    </font>
    <font>
      <b/>
      <sz val="10"/>
      <color rgb="FFFFFFFF"/>
      <name val="Arial"/>
      <charset val="134"/>
    </font>
    <font>
      <b/>
      <sz val="10"/>
      <color rgb="FF000000"/>
      <name val="Arial"/>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F3864"/>
        <bgColor rgb="FF333399"/>
      </patternFill>
    </fill>
    <fill>
      <patternFill patternType="solid">
        <fgColor rgb="FFBDD7EE"/>
        <bgColor rgb="FFD9D9D9"/>
      </patternFill>
    </fill>
    <fill>
      <patternFill patternType="solid">
        <fgColor rgb="FFF2F2F2"/>
        <bgColor rgb="FFF5F5F5"/>
      </patternFill>
    </fill>
    <fill>
      <patternFill patternType="solid">
        <fgColor rgb="FF2E75B6"/>
        <bgColor rgb="FF4F81BD"/>
      </patternFill>
    </fill>
    <fill>
      <patternFill patternType="solid">
        <fgColor rgb="FF00B050"/>
        <bgColor rgb="FF008080"/>
      </patternFill>
    </fill>
    <fill>
      <patternFill patternType="solid">
        <fgColor rgb="FFFFF2CC"/>
        <bgColor rgb="FFF2F2F2"/>
      </patternFill>
    </fill>
    <fill>
      <patternFill patternType="solid">
        <fgColor rgb="FFFFFFFF"/>
        <bgColor rgb="FFF9F9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9"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0" borderId="5" applyNumberFormat="0" applyAlignment="0" applyProtection="0">
      <alignment vertical="center"/>
    </xf>
    <xf numFmtId="0" fontId="18" fillId="11" borderId="6" applyNumberFormat="0" applyAlignment="0" applyProtection="0">
      <alignment vertical="center"/>
    </xf>
    <xf numFmtId="0" fontId="19" fillId="11" borderId="5" applyNumberFormat="0" applyAlignment="0" applyProtection="0">
      <alignment vertical="center"/>
    </xf>
    <xf numFmtId="0" fontId="20" fillId="12"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18">
    <xf numFmtId="0" fontId="0" fillId="0" borderId="0" xfId="0"/>
    <xf numFmtId="0" fontId="0" fillId="0" borderId="0" xfId="0" applyAlignment="1"/>
    <xf numFmtId="0" fontId="1" fillId="2" borderId="0" xfId="0" applyFont="1" applyFill="1" applyBorder="1" applyAlignment="1">
      <alignment horizontal="center" vertical="center"/>
    </xf>
    <xf numFmtId="0" fontId="2" fillId="2" borderId="0" xfId="0" applyFont="1" applyFill="1" applyBorder="1" applyAlignment="1">
      <alignment horizontal="left" vertical="center" indent="1"/>
    </xf>
    <xf numFmtId="0" fontId="3" fillId="3" borderId="1" xfId="0" applyFont="1" applyFill="1" applyBorder="1" applyAlignment="1">
      <alignment horizontal="left" vertical="top" wrapText="1" indent="1"/>
    </xf>
    <xf numFmtId="0" fontId="4" fillId="4" borderId="1" xfId="0" applyFont="1" applyFill="1" applyBorder="1" applyAlignment="1">
      <alignment horizontal="left" vertical="top" wrapText="1" indent="1"/>
    </xf>
    <xf numFmtId="0" fontId="2" fillId="5" borderId="0" xfId="0" applyFont="1" applyFill="1" applyBorder="1" applyAlignment="1">
      <alignment horizontal="left" vertical="center" indent="1"/>
    </xf>
    <xf numFmtId="0" fontId="2" fillId="6" borderId="0" xfId="0" applyFont="1" applyFill="1" applyBorder="1" applyAlignment="1">
      <alignment horizontal="left" vertical="center" indent="1"/>
    </xf>
    <xf numFmtId="0" fontId="5" fillId="5"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6" fillId="7" borderId="1" xfId="0" applyFont="1" applyFill="1" applyBorder="1" applyAlignment="1">
      <alignment horizontal="center" vertical="center"/>
    </xf>
    <xf numFmtId="176" fontId="6" fillId="7"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0" borderId="1" xfId="0" applyFont="1" applyBorder="1" applyAlignment="1">
      <alignment horizontal="center" vertical="center"/>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xf>
    <xf numFmtId="0" fontId="6" fillId="8"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name val="Arial"/>
        <scheme val="none"/>
        <charset val="1"/>
        <family val="0"/>
        <b val="1"/>
        <sz val="10"/>
        <color rgb="FF375623"/>
      </font>
      <fill>
        <patternFill patternType="solid">
          <bgColor rgb="FFE2EFDA"/>
        </patternFill>
      </fill>
    </dxf>
    <dxf>
      <font>
        <name val="Arial"/>
        <scheme val="none"/>
        <charset val="1"/>
        <family val="0"/>
        <b val="1"/>
        <sz val="10"/>
        <color rgb="FFC00000"/>
      </font>
      <fill>
        <patternFill patternType="solid">
          <bgColor rgb="FFFFDCE1"/>
        </patternFill>
      </fill>
    </dxf>
    <dxf>
      <font>
        <name val="Arial"/>
        <scheme val="none"/>
        <charset val="1"/>
        <family val="0"/>
        <b val="1"/>
        <sz val="10"/>
        <color rgb="FF7F4F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B050"/>
      <rgbColor rgb="00BFBFBF"/>
      <rgbColor rgb="00878787"/>
      <rgbColor rgb="009999FF"/>
      <rgbColor rgb="007030A0"/>
      <rgbColor rgb="00FFF2CC"/>
      <rgbColor rgb="00F2F2F2"/>
      <rgbColor rgb="00660066"/>
      <rgbColor rgb="00FF8080"/>
      <rgbColor rgb="000066CC"/>
      <rgbColor rgb="00BDD7EE"/>
      <rgbColor rgb="00000080"/>
      <rgbColor rgb="00FF00FF"/>
      <rgbColor rgb="00FFFF00"/>
      <rgbColor rgb="0000FFFF"/>
      <rgbColor rgb="00800080"/>
      <rgbColor rgb="00800000"/>
      <rgbColor rgb="00008080"/>
      <rgbColor rgb="000000FF"/>
      <rgbColor rgb="0000CCFF"/>
      <rgbColor rgb="00F5F5F5"/>
      <rgbColor rgb="00E2EFDA"/>
      <rgbColor rgb="00F9F9F9"/>
      <rgbColor rgb="0099CCFF"/>
      <rgbColor rgb="00E6E6E6"/>
      <rgbColor rgb="00D9D9D9"/>
      <rgbColor rgb="00FFDCE1"/>
      <rgbColor rgb="002E75B6"/>
      <rgbColor rgb="004FB4BD"/>
      <rgbColor rgb="009BBB59"/>
      <rgbColor rgb="00FFCC00"/>
      <rgbColor rgb="00FF9900"/>
      <rgbColor rgb="00FF6600"/>
      <rgbColor rgb="00595959"/>
      <rgbColor rgb="004F81BD"/>
      <rgbColor rgb="001F3864"/>
      <rgbColor rgb="00378B92"/>
      <rgbColor rgb="00003300"/>
      <rgbColor rgb="00375623"/>
      <rgbColor rgb="007F4F00"/>
      <rgbColor rgb="00C0504D"/>
      <rgbColor rgb="00333399"/>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400" b="1" i="0" u="none" strike="noStrike" kern="1200" spc="-1" baseline="0">
                <a:solidFill>
                  <a:srgbClr val="404040"/>
                </a:solidFill>
                <a:latin typeface="Calibri" panose="020F0502020204030204"/>
                <a:ea typeface="+mn-ea"/>
                <a:cs typeface="+mn-cs"/>
              </a:defRPr>
            </a:pPr>
            <a:r>
              <a:rPr lang="en-US" sz="1400" b="1" strike="noStrike" spc="-1">
                <a:solidFill>
                  <a:srgbClr val="404040"/>
                </a:solidFill>
                <a:latin typeface="Calibri" panose="020F0502020204030204"/>
              </a:rPr>
              <a:t>Average Score per Student</a:t>
            </a:r>
            <a:endParaRPr lang="en-US" sz="1400" b="1" strike="noStrike" spc="-1">
              <a:solidFill>
                <a:srgbClr val="40404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'Chart Data'!$B$1</c:f>
              <c:strCache>
                <c:ptCount val="1"/>
                <c:pt idx="0">
                  <c:v>Avg Score</c:v>
                </c:pt>
              </c:strCache>
            </c:strRef>
          </c:tx>
          <c:spPr>
            <a:gradFill>
              <a:gsLst>
                <a:gs pos="0">
                  <a:srgbClr val="4FB4BD"/>
                </a:gs>
                <a:gs pos="100000">
                  <a:srgbClr val="4F81BD"/>
                </a:gs>
              </a:gsLst>
              <a:lin ang="5400000"/>
            </a:gradFill>
            <a:ln w="0">
              <a:solidFill>
                <a:srgbClr val="378B92"/>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'Chart Data'!$A$2:$A$16</c:f>
              <c:strCache>
                <c:ptCount val="15"/>
                <c:pt idx="0">
                  <c:v>Amara</c:v>
                </c:pt>
                <c:pt idx="1">
                  <c:v>Chidi</c:v>
                </c:pt>
                <c:pt idx="2">
                  <c:v>Fatima</c:v>
                </c:pt>
                <c:pt idx="3">
                  <c:v>Emeka</c:v>
                </c:pt>
                <c:pt idx="4">
                  <c:v>Ngozi</c:v>
                </c:pt>
                <c:pt idx="5">
                  <c:v>Tunde</c:v>
                </c:pt>
                <c:pt idx="6">
                  <c:v>Aisha</c:v>
                </c:pt>
                <c:pt idx="7">
                  <c:v>Kelechi</c:v>
                </c:pt>
                <c:pt idx="8">
                  <c:v>Blessing</c:v>
                </c:pt>
                <c:pt idx="9">
                  <c:v>Yusuf</c:v>
                </c:pt>
                <c:pt idx="10">
                  <c:v>Chioma</c:v>
                </c:pt>
                <c:pt idx="11">
                  <c:v>Adebayo</c:v>
                </c:pt>
                <c:pt idx="12">
                  <c:v>Zainab</c:v>
                </c:pt>
                <c:pt idx="13">
                  <c:v>Ifeanyi</c:v>
                </c:pt>
                <c:pt idx="14">
                  <c:v>Seun</c:v>
                </c:pt>
              </c:strCache>
            </c:strRef>
          </c:cat>
          <c:val>
            <c:numRef>
              <c:f>'Chart Data'!$B$2:$B$16</c:f>
              <c:numCache>
                <c:formatCode>General</c:formatCode>
                <c:ptCount val="15"/>
                <c:pt idx="0">
                  <c:v>89.8</c:v>
                </c:pt>
                <c:pt idx="1">
                  <c:v>62.4</c:v>
                </c:pt>
                <c:pt idx="2">
                  <c:v>88.4</c:v>
                </c:pt>
                <c:pt idx="3">
                  <c:v>42.4</c:v>
                </c:pt>
                <c:pt idx="4">
                  <c:v>78.4</c:v>
                </c:pt>
                <c:pt idx="5">
                  <c:v>54.4</c:v>
                </c:pt>
                <c:pt idx="6">
                  <c:v>91.4</c:v>
                </c:pt>
                <c:pt idx="7">
                  <c:v>71</c:v>
                </c:pt>
                <c:pt idx="8">
                  <c:v>37</c:v>
                </c:pt>
                <c:pt idx="9">
                  <c:v>83.4</c:v>
                </c:pt>
                <c:pt idx="10">
                  <c:v>68.4</c:v>
                </c:pt>
                <c:pt idx="11">
                  <c:v>50</c:v>
                </c:pt>
                <c:pt idx="12">
                  <c:v>91.4</c:v>
                </c:pt>
                <c:pt idx="13">
                  <c:v>76.4</c:v>
                </c:pt>
                <c:pt idx="14">
                  <c:v>58.4</c:v>
                </c:pt>
              </c:numCache>
            </c:numRef>
          </c:val>
        </c:ser>
        <c:dLbls>
          <c:showLegendKey val="0"/>
          <c:showVal val="0"/>
          <c:showCatName val="0"/>
          <c:showSerName val="0"/>
          <c:showPercent val="0"/>
          <c:showBubbleSize val="1"/>
        </c:dLbls>
        <c:gapWidth val="500"/>
        <c:overlap val="-50"/>
        <c:axId val="15643976"/>
        <c:axId val="62854014"/>
      </c:barChart>
      <c:catAx>
        <c:axId val="15643976"/>
        <c:scaling>
          <c:orientation val="minMax"/>
        </c:scaling>
        <c:delete val="0"/>
        <c:axPos val="b"/>
        <c:title>
          <c:tx>
            <c:rich>
              <a:bodyPr rot="0" spcFirstLastPara="0" vertOverflow="ellipsis" vert="horz" wrap="square" anchor="ctr" anchorCtr="1"/>
              <a:lstStyle/>
              <a:p>
                <a:pPr>
                  <a:defRPr lang="en-US" sz="1000" b="0" i="0" u="none" strike="noStrike" kern="1200" spc="-1" baseline="0">
                    <a:solidFill>
                      <a:srgbClr val="595959"/>
                    </a:solidFill>
                    <a:latin typeface="Calibri" panose="020F0502020204030204"/>
                    <a:ea typeface="+mn-ea"/>
                    <a:cs typeface="+mn-cs"/>
                  </a:defRPr>
                </a:pPr>
                <a:r>
                  <a:rPr lang="en-US" sz="1000" b="0" strike="noStrike" spc="-1">
                    <a:solidFill>
                      <a:srgbClr val="595959"/>
                    </a:solidFill>
                    <a:latin typeface="Calibri" panose="020F0502020204030204"/>
                  </a:rPr>
                  <a:t>Student</a:t>
                </a:r>
                <a:endParaRPr lang="en-US" sz="1000" b="0" strike="noStrike" spc="-1">
                  <a:solidFill>
                    <a:srgbClr val="595959"/>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D9D9D9"/>
            </a:solid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p>
        </c:txPr>
        <c:crossAx val="62854014"/>
        <c:crosses val="autoZero"/>
        <c:auto val="1"/>
        <c:lblAlgn val="ctr"/>
        <c:lblOffset val="100"/>
        <c:noMultiLvlLbl val="0"/>
      </c:catAx>
      <c:valAx>
        <c:axId val="62854014"/>
        <c:scaling>
          <c:orientation val="minMax"/>
        </c:scaling>
        <c:delete val="0"/>
        <c:axPos val="l"/>
        <c:majorGridlines>
          <c:spPr>
            <a:ln w="9360" cap="flat" cmpd="sng" algn="ctr">
              <a:solidFill>
                <a:srgbClr val="E6E6E6"/>
              </a:solidFill>
              <a:prstDash val="solid"/>
              <a:round/>
            </a:ln>
          </c:spPr>
        </c:majorGridlines>
        <c:title>
          <c:tx>
            <c:rich>
              <a:bodyPr rot="-5400000" spcFirstLastPara="0" vertOverflow="ellipsis" vert="horz" wrap="square" anchor="ctr" anchorCtr="1"/>
              <a:lstStyle/>
              <a:p>
                <a:pPr>
                  <a:defRPr lang="en-US" sz="1000" b="0" i="0" u="none" strike="noStrike" kern="1200" spc="-1" baseline="0">
                    <a:solidFill>
                      <a:srgbClr val="595959"/>
                    </a:solidFill>
                    <a:latin typeface="Calibri" panose="020F0502020204030204"/>
                    <a:ea typeface="+mn-ea"/>
                    <a:cs typeface="+mn-cs"/>
                  </a:defRPr>
                </a:pPr>
                <a:r>
                  <a:rPr lang="en-US" sz="1000" b="0" strike="noStrike" spc="-1">
                    <a:solidFill>
                      <a:srgbClr val="595959"/>
                    </a:solidFill>
                    <a:latin typeface="Calibri" panose="020F0502020204030204"/>
                  </a:rPr>
                  <a:t>Score (%)</a:t>
                </a:r>
                <a:endParaRPr lang="en-US" sz="1000" b="0" strike="noStrike" spc="-1">
                  <a:solidFill>
                    <a:srgbClr val="595959"/>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p>
        </c:txPr>
        <c:crossAx val="15643976"/>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40478fe0-f689-4b06-8615-ba1a588346bb}"/>
      </c:ext>
    </c:extLst>
  </c:chart>
  <c:spPr>
    <a:solidFill>
      <a:srgbClr val="F5F5F5"/>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Attendance Rate per Student (%)</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'Chart Data'!$C$1</c:f>
              <c:strCache>
                <c:ptCount val="1"/>
                <c:pt idx="0">
                  <c:v>Attendance %</c:v>
                </c:pt>
              </c:strCache>
            </c:strRef>
          </c:tx>
          <c:spPr>
            <a:solidFill>
              <a:srgbClr val="375623"/>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'Chart Data'!$A$2:$A$16</c:f>
              <c:strCache>
                <c:ptCount val="15"/>
                <c:pt idx="0">
                  <c:v>Amara</c:v>
                </c:pt>
                <c:pt idx="1">
                  <c:v>Chidi</c:v>
                </c:pt>
                <c:pt idx="2">
                  <c:v>Fatima</c:v>
                </c:pt>
                <c:pt idx="3">
                  <c:v>Emeka</c:v>
                </c:pt>
                <c:pt idx="4">
                  <c:v>Ngozi</c:v>
                </c:pt>
                <c:pt idx="5">
                  <c:v>Tunde</c:v>
                </c:pt>
                <c:pt idx="6">
                  <c:v>Aisha</c:v>
                </c:pt>
                <c:pt idx="7">
                  <c:v>Kelechi</c:v>
                </c:pt>
                <c:pt idx="8">
                  <c:v>Blessing</c:v>
                </c:pt>
                <c:pt idx="9">
                  <c:v>Yusuf</c:v>
                </c:pt>
                <c:pt idx="10">
                  <c:v>Chioma</c:v>
                </c:pt>
                <c:pt idx="11">
                  <c:v>Adebayo</c:v>
                </c:pt>
                <c:pt idx="12">
                  <c:v>Zainab</c:v>
                </c:pt>
                <c:pt idx="13">
                  <c:v>Ifeanyi</c:v>
                </c:pt>
                <c:pt idx="14">
                  <c:v>Seun</c:v>
                </c:pt>
              </c:strCache>
            </c:strRef>
          </c:cat>
          <c:val>
            <c:numRef>
              <c:f>'Chart Data'!$C$2:$C$16</c:f>
              <c:numCache>
                <c:formatCode>General</c:formatCode>
                <c:ptCount val="15"/>
                <c:pt idx="0">
                  <c:v>98</c:v>
                </c:pt>
                <c:pt idx="1">
                  <c:v>72</c:v>
                </c:pt>
                <c:pt idx="2">
                  <c:v>96</c:v>
                </c:pt>
                <c:pt idx="3">
                  <c:v>65</c:v>
                </c:pt>
                <c:pt idx="4">
                  <c:v>88</c:v>
                </c:pt>
                <c:pt idx="5">
                  <c:v>70</c:v>
                </c:pt>
                <c:pt idx="6">
                  <c:v>97</c:v>
                </c:pt>
                <c:pt idx="7">
                  <c:v>82</c:v>
                </c:pt>
                <c:pt idx="8">
                  <c:v>60</c:v>
                </c:pt>
                <c:pt idx="9">
                  <c:v>91</c:v>
                </c:pt>
                <c:pt idx="10">
                  <c:v>80</c:v>
                </c:pt>
                <c:pt idx="11">
                  <c:v>68</c:v>
                </c:pt>
                <c:pt idx="12">
                  <c:v>99</c:v>
                </c:pt>
                <c:pt idx="13">
                  <c:v>85</c:v>
                </c:pt>
                <c:pt idx="14">
                  <c:v>74</c:v>
                </c:pt>
              </c:numCache>
            </c:numRef>
          </c:val>
        </c:ser>
        <c:dLbls>
          <c:showLegendKey val="0"/>
          <c:showVal val="0"/>
          <c:showCatName val="0"/>
          <c:showSerName val="0"/>
          <c:showPercent val="0"/>
          <c:showBubbleSize val="1"/>
        </c:dLbls>
        <c:gapWidth val="150"/>
        <c:overlap val="0"/>
        <c:axId val="98196285"/>
        <c:axId val="47298632"/>
      </c:barChart>
      <c:catAx>
        <c:axId val="98196285"/>
        <c:scaling>
          <c:orientation val="minMax"/>
        </c:scaling>
        <c:delete val="0"/>
        <c:axPos val="b"/>
        <c:title>
          <c:tx>
            <c:rich>
              <a:bodyPr rot="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Student</a:t>
                </a:r>
                <a:endParaRPr lang="en-US"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47298632"/>
        <c:crosses val="autoZero"/>
        <c:auto val="1"/>
        <c:lblAlgn val="ctr"/>
        <c:lblOffset val="100"/>
        <c:noMultiLvlLbl val="0"/>
      </c:catAx>
      <c:valAx>
        <c:axId val="47298632"/>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Attendance (%)</a:t>
                </a:r>
                <a:endParaRPr lang="en-US"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98196285"/>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df7ea0b6-3e32-4538-b775-93f5d776884e}"/>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Score vs Attendance Trend</a:t>
            </a:r>
            <a:endParaRPr lang="en-US" sz="1800" b="1" strike="noStrike" spc="-1">
              <a:solidFill>
                <a:srgbClr val="000000"/>
              </a:solidFill>
              <a:latin typeface="Calibri" panose="020F0502020204030204"/>
            </a:endParaRPr>
          </a:p>
        </c:rich>
      </c:tx>
      <c:layout>
        <c:manualLayout>
          <c:xMode val="edge"/>
          <c:yMode val="edge"/>
          <c:x val="0.252513431565509"/>
          <c:y val="0.0196538574361983"/>
        </c:manualLayout>
      </c:layout>
      <c:overlay val="0"/>
      <c:spPr>
        <a:noFill/>
        <a:ln w="0">
          <a:noFill/>
        </a:ln>
      </c:spPr>
    </c:title>
    <c:autoTitleDeleted val="0"/>
    <c:plotArea>
      <c:layout/>
      <c:lineChart>
        <c:grouping val="standard"/>
        <c:varyColors val="0"/>
        <c:ser>
          <c:idx val="0"/>
          <c:order val="0"/>
          <c:tx>
            <c:strRef>
              <c:f>'Chart Data'!$B$1</c:f>
              <c:strCache>
                <c:ptCount val="1"/>
                <c:pt idx="0">
                  <c:v>Avg Score</c:v>
                </c:pt>
              </c:strCache>
            </c:strRef>
          </c:tx>
          <c:spPr>
            <a:ln w="20160" cap="rnd" cmpd="sng" algn="ctr">
              <a:solidFill>
                <a:srgbClr val="2E75B6"/>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'Chart Data'!$A$2:$A$16</c:f>
              <c:strCache>
                <c:ptCount val="15"/>
                <c:pt idx="0">
                  <c:v>Amara</c:v>
                </c:pt>
                <c:pt idx="1">
                  <c:v>Chidi</c:v>
                </c:pt>
                <c:pt idx="2">
                  <c:v>Fatima</c:v>
                </c:pt>
                <c:pt idx="3">
                  <c:v>Emeka</c:v>
                </c:pt>
                <c:pt idx="4">
                  <c:v>Ngozi</c:v>
                </c:pt>
                <c:pt idx="5">
                  <c:v>Tunde</c:v>
                </c:pt>
                <c:pt idx="6">
                  <c:v>Aisha</c:v>
                </c:pt>
                <c:pt idx="7">
                  <c:v>Kelechi</c:v>
                </c:pt>
                <c:pt idx="8">
                  <c:v>Blessing</c:v>
                </c:pt>
                <c:pt idx="9">
                  <c:v>Yusuf</c:v>
                </c:pt>
                <c:pt idx="10">
                  <c:v>Chioma</c:v>
                </c:pt>
                <c:pt idx="11">
                  <c:v>Adebayo</c:v>
                </c:pt>
                <c:pt idx="12">
                  <c:v>Zainab</c:v>
                </c:pt>
                <c:pt idx="13">
                  <c:v>Ifeanyi</c:v>
                </c:pt>
                <c:pt idx="14">
                  <c:v>Seun</c:v>
                </c:pt>
              </c:strCache>
            </c:strRef>
          </c:cat>
          <c:val>
            <c:numRef>
              <c:f>'Chart Data'!$B$2:$B$16</c:f>
              <c:numCache>
                <c:formatCode>General</c:formatCode>
                <c:ptCount val="15"/>
                <c:pt idx="0">
                  <c:v>89.8</c:v>
                </c:pt>
                <c:pt idx="1">
                  <c:v>62.4</c:v>
                </c:pt>
                <c:pt idx="2">
                  <c:v>88.4</c:v>
                </c:pt>
                <c:pt idx="3">
                  <c:v>42.4</c:v>
                </c:pt>
                <c:pt idx="4">
                  <c:v>78.4</c:v>
                </c:pt>
                <c:pt idx="5">
                  <c:v>54.4</c:v>
                </c:pt>
                <c:pt idx="6">
                  <c:v>91.4</c:v>
                </c:pt>
                <c:pt idx="7">
                  <c:v>71</c:v>
                </c:pt>
                <c:pt idx="8">
                  <c:v>37</c:v>
                </c:pt>
                <c:pt idx="9">
                  <c:v>83.4</c:v>
                </c:pt>
                <c:pt idx="10">
                  <c:v>68.4</c:v>
                </c:pt>
                <c:pt idx="11">
                  <c:v>50</c:v>
                </c:pt>
                <c:pt idx="12">
                  <c:v>91.4</c:v>
                </c:pt>
                <c:pt idx="13">
                  <c:v>76.4</c:v>
                </c:pt>
                <c:pt idx="14">
                  <c:v>58.4</c:v>
                </c:pt>
              </c:numCache>
            </c:numRef>
          </c:val>
          <c:smooth val="1"/>
        </c:ser>
        <c:ser>
          <c:idx val="1"/>
          <c:order val="1"/>
          <c:tx>
            <c:strRef>
              <c:f>'Chart Data'!$C$1</c:f>
              <c:strCache>
                <c:ptCount val="1"/>
                <c:pt idx="0">
                  <c:v>Attendance %</c:v>
                </c:pt>
              </c:strCache>
            </c:strRef>
          </c:tx>
          <c:spPr>
            <a:ln w="20160" cap="rnd" cmpd="sng" algn="ctr">
              <a:solidFill>
                <a:srgbClr val="C00000"/>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'Chart Data'!$A$2:$A$16</c:f>
              <c:strCache>
                <c:ptCount val="15"/>
                <c:pt idx="0">
                  <c:v>Amara</c:v>
                </c:pt>
                <c:pt idx="1">
                  <c:v>Chidi</c:v>
                </c:pt>
                <c:pt idx="2">
                  <c:v>Fatima</c:v>
                </c:pt>
                <c:pt idx="3">
                  <c:v>Emeka</c:v>
                </c:pt>
                <c:pt idx="4">
                  <c:v>Ngozi</c:v>
                </c:pt>
                <c:pt idx="5">
                  <c:v>Tunde</c:v>
                </c:pt>
                <c:pt idx="6">
                  <c:v>Aisha</c:v>
                </c:pt>
                <c:pt idx="7">
                  <c:v>Kelechi</c:v>
                </c:pt>
                <c:pt idx="8">
                  <c:v>Blessing</c:v>
                </c:pt>
                <c:pt idx="9">
                  <c:v>Yusuf</c:v>
                </c:pt>
                <c:pt idx="10">
                  <c:v>Chioma</c:v>
                </c:pt>
                <c:pt idx="11">
                  <c:v>Adebayo</c:v>
                </c:pt>
                <c:pt idx="12">
                  <c:v>Zainab</c:v>
                </c:pt>
                <c:pt idx="13">
                  <c:v>Ifeanyi</c:v>
                </c:pt>
                <c:pt idx="14">
                  <c:v>Seun</c:v>
                </c:pt>
              </c:strCache>
            </c:strRef>
          </c:cat>
          <c:val>
            <c:numRef>
              <c:f>'Chart Data'!$C$2:$C$16</c:f>
              <c:numCache>
                <c:formatCode>General</c:formatCode>
                <c:ptCount val="15"/>
                <c:pt idx="0">
                  <c:v>98</c:v>
                </c:pt>
                <c:pt idx="1">
                  <c:v>72</c:v>
                </c:pt>
                <c:pt idx="2">
                  <c:v>96</c:v>
                </c:pt>
                <c:pt idx="3">
                  <c:v>65</c:v>
                </c:pt>
                <c:pt idx="4">
                  <c:v>88</c:v>
                </c:pt>
                <c:pt idx="5">
                  <c:v>70</c:v>
                </c:pt>
                <c:pt idx="6">
                  <c:v>97</c:v>
                </c:pt>
                <c:pt idx="7">
                  <c:v>82</c:v>
                </c:pt>
                <c:pt idx="8">
                  <c:v>60</c:v>
                </c:pt>
                <c:pt idx="9">
                  <c:v>91</c:v>
                </c:pt>
                <c:pt idx="10">
                  <c:v>80</c:v>
                </c:pt>
                <c:pt idx="11">
                  <c:v>68</c:v>
                </c:pt>
                <c:pt idx="12">
                  <c:v>99</c:v>
                </c:pt>
                <c:pt idx="13">
                  <c:v>85</c:v>
                </c:pt>
                <c:pt idx="14">
                  <c:v>74</c:v>
                </c:pt>
              </c:numCache>
            </c:numRef>
          </c:val>
          <c:smooth val="1"/>
        </c:ser>
        <c:dLbls>
          <c:showLegendKey val="0"/>
          <c:showVal val="0"/>
          <c:showCatName val="0"/>
          <c:showSerName val="0"/>
          <c:showPercent val="0"/>
          <c:showBubbleSize val="1"/>
        </c:dLbls>
        <c:hiLowLines>
          <c:spPr>
            <a:ln w="0" cap="flat" cmpd="sng" algn="ctr">
              <a:noFill/>
              <a:prstDash val="solid"/>
              <a:round/>
            </a:ln>
          </c:spPr>
        </c:hiLowLines>
        <c:marker val="0"/>
        <c:smooth val="1"/>
        <c:axId val="40113812"/>
        <c:axId val="9577489"/>
      </c:lineChart>
      <c:catAx>
        <c:axId val="40113812"/>
        <c:scaling>
          <c:orientation val="minMax"/>
        </c:scaling>
        <c:delete val="0"/>
        <c:axPos val="b"/>
        <c:title>
          <c:tx>
            <c:rich>
              <a:bodyPr rot="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Student</a:t>
                </a:r>
                <a:endParaRPr lang="en-US"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9577489"/>
        <c:crosses val="autoZero"/>
        <c:auto val="1"/>
        <c:lblAlgn val="ctr"/>
        <c:lblOffset val="100"/>
        <c:noMultiLvlLbl val="0"/>
      </c:catAx>
      <c:valAx>
        <c:axId val="9577489"/>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Value (%)</a:t>
                </a:r>
                <a:endParaRPr lang="en-US"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40113812"/>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fb5faae6-e397-4901-b226-921bd5f9be66}"/>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lang="en-US" sz="1800" b="1" strike="noStrike" spc="-1">
                <a:solidFill>
                  <a:srgbClr val="000000"/>
                </a:solidFill>
                <a:latin typeface="Calibri" panose="020F0502020204030204"/>
              </a:rPr>
              <a:t>Subject Score: Top vs Bottom Performers</a:t>
            </a:r>
            <a:endParaRPr lang="en-US" sz="1800" b="1" strike="noStrike" spc="-1">
              <a:solidFill>
                <a:srgbClr val="000000"/>
              </a:solidFill>
              <a:latin typeface="Calibri" panose="020F0502020204030204"/>
            </a:endParaRPr>
          </a:p>
        </c:rich>
      </c:tx>
      <c:layout/>
      <c:overlay val="0"/>
      <c:spPr>
        <a:noFill/>
        <a:ln w="0">
          <a:noFill/>
        </a:ln>
      </c:spPr>
    </c:title>
    <c:autoTitleDeleted val="0"/>
    <c:plotArea>
      <c:layout>
        <c:manualLayout>
          <c:layoutTarget val="inner"/>
          <c:xMode val="edge"/>
          <c:yMode val="edge"/>
          <c:x val="0.198969896989699"/>
          <c:y val="0.137152777777778"/>
          <c:w val="0.798279827982798"/>
          <c:h val="0.818981481481482"/>
        </c:manualLayout>
      </c:layout>
      <c:barChart>
        <c:barDir val="col"/>
        <c:grouping val="clustered"/>
        <c:varyColors val="0"/>
        <c:ser>
          <c:idx val="0"/>
          <c:order val="0"/>
          <c:tx>
            <c:strRef>
              <c:f>'Chart Data'!$F$1</c:f>
              <c:strCache>
                <c:ptCount val="1"/>
                <c:pt idx="0">
                  <c:v>Math</c:v>
                </c:pt>
              </c:strCache>
            </c:strRef>
          </c:tx>
          <c:spPr>
            <a:solidFill>
              <a:srgbClr val="4F81BD"/>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'Chart Data'!$E$2:$E$3</c:f>
              <c:strCache>
                <c:ptCount val="2"/>
                <c:pt idx="0">
                  <c:v>Top Performers Avg</c:v>
                </c:pt>
                <c:pt idx="1">
                  <c:v>Bottom Performers Avg</c:v>
                </c:pt>
              </c:strCache>
            </c:strRef>
          </c:cat>
          <c:val>
            <c:numRef>
              <c:f>'Chart Data'!$F$2:$F$3</c:f>
              <c:numCache>
                <c:formatCode>General</c:formatCode>
                <c:ptCount val="2"/>
                <c:pt idx="0">
                  <c:v>90.2</c:v>
                </c:pt>
                <c:pt idx="1">
                  <c:v>41.5</c:v>
                </c:pt>
              </c:numCache>
            </c:numRef>
          </c:val>
        </c:ser>
        <c:ser>
          <c:idx val="1"/>
          <c:order val="1"/>
          <c:tx>
            <c:strRef>
              <c:f>'Chart Data'!$G$1</c:f>
              <c:strCache>
                <c:ptCount val="1"/>
                <c:pt idx="0">
                  <c:v>English</c:v>
                </c:pt>
              </c:strCache>
            </c:strRef>
          </c:tx>
          <c:spPr>
            <a:solidFill>
              <a:srgbClr val="C0504D"/>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'Chart Data'!$E$2:$E$3</c:f>
              <c:strCache>
                <c:ptCount val="2"/>
                <c:pt idx="0">
                  <c:v>Top Performers Avg</c:v>
                </c:pt>
                <c:pt idx="1">
                  <c:v>Bottom Performers Avg</c:v>
                </c:pt>
              </c:strCache>
            </c:strRef>
          </c:cat>
          <c:val>
            <c:numRef>
              <c:f>'Chart Data'!$G$2:$G$3</c:f>
              <c:numCache>
                <c:formatCode>General</c:formatCode>
                <c:ptCount val="2"/>
                <c:pt idx="0">
                  <c:v>90.4</c:v>
                </c:pt>
                <c:pt idx="1">
                  <c:v>37.5</c:v>
                </c:pt>
              </c:numCache>
            </c:numRef>
          </c:val>
        </c:ser>
        <c:ser>
          <c:idx val="2"/>
          <c:order val="2"/>
          <c:tx>
            <c:strRef>
              <c:f>'Chart Data'!$H$1</c:f>
              <c:strCache>
                <c:ptCount val="1"/>
                <c:pt idx="0">
                  <c:v>Science</c:v>
                </c:pt>
              </c:strCache>
            </c:strRef>
          </c:tx>
          <c:spPr>
            <a:solidFill>
              <a:srgbClr val="9BBB59"/>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'Chart Data'!$E$2:$E$3</c:f>
              <c:strCache>
                <c:ptCount val="2"/>
                <c:pt idx="0">
                  <c:v>Top Performers Avg</c:v>
                </c:pt>
                <c:pt idx="1">
                  <c:v>Bottom Performers Avg</c:v>
                </c:pt>
              </c:strCache>
            </c:strRef>
          </c:cat>
          <c:val>
            <c:numRef>
              <c:f>'Chart Data'!$H$2:$H$3</c:f>
              <c:numCache>
                <c:formatCode>General</c:formatCode>
                <c:ptCount val="2"/>
                <c:pt idx="0">
                  <c:v>87.2</c:v>
                </c:pt>
                <c:pt idx="1">
                  <c:v>46</c:v>
                </c:pt>
              </c:numCache>
            </c:numRef>
          </c:val>
        </c:ser>
        <c:dLbls>
          <c:showLegendKey val="0"/>
          <c:showVal val="0"/>
          <c:showCatName val="0"/>
          <c:showSerName val="0"/>
          <c:showPercent val="0"/>
          <c:showBubbleSize val="1"/>
        </c:dLbls>
        <c:gapWidth val="150"/>
        <c:overlap val="0"/>
        <c:axId val="6796987"/>
        <c:axId val="12175844"/>
      </c:barChart>
      <c:catAx>
        <c:axId val="6796987"/>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12175844"/>
        <c:crosses val="autoZero"/>
        <c:auto val="1"/>
        <c:lblAlgn val="ctr"/>
        <c:lblOffset val="100"/>
        <c:noMultiLvlLbl val="0"/>
      </c:catAx>
      <c:valAx>
        <c:axId val="12175844"/>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lang="en-US" sz="1000" b="1" strike="noStrike" spc="-1">
                    <a:solidFill>
                      <a:srgbClr val="000000"/>
                    </a:solidFill>
                    <a:latin typeface="Calibri" panose="020F0502020204030204"/>
                  </a:rPr>
                  <a:t>Average Score</a:t>
                </a:r>
                <a:endParaRPr lang="en-US"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6796987"/>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3678efdb-7697-4a82-962c-4496fb7ae3da}"/>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0</xdr:rowOff>
    </xdr:from>
    <xdr:to>
      <xdr:col>14</xdr:col>
      <xdr:colOff>24840</xdr:colOff>
      <xdr:row>28</xdr:row>
      <xdr:rowOff>168840</xdr:rowOff>
    </xdr:to>
    <xdr:graphicFrame>
      <xdr:nvGraphicFramePr>
        <xdr:cNvPr id="2" name="Chart 1"/>
        <xdr:cNvGraphicFramePr/>
      </xdr:nvGraphicFramePr>
      <xdr:xfrm>
        <a:off x="0" y="565150"/>
        <a:ext cx="7847965" cy="49561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431640</xdr:colOff>
      <xdr:row>2</xdr:row>
      <xdr:rowOff>6480</xdr:rowOff>
    </xdr:from>
    <xdr:to>
      <xdr:col>27</xdr:col>
      <xdr:colOff>245160</xdr:colOff>
      <xdr:row>28</xdr:row>
      <xdr:rowOff>175320</xdr:rowOff>
    </xdr:to>
    <xdr:graphicFrame>
      <xdr:nvGraphicFramePr>
        <xdr:cNvPr id="3" name="Chart 2"/>
        <xdr:cNvGraphicFramePr/>
      </xdr:nvGraphicFramePr>
      <xdr:xfrm>
        <a:off x="8254365" y="571500"/>
        <a:ext cx="7846695" cy="49568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720</xdr:colOff>
      <xdr:row>30</xdr:row>
      <xdr:rowOff>19800</xdr:rowOff>
    </xdr:from>
    <xdr:to>
      <xdr:col>23</xdr:col>
      <xdr:colOff>73080</xdr:colOff>
      <xdr:row>64</xdr:row>
      <xdr:rowOff>2520</xdr:rowOff>
    </xdr:to>
    <xdr:graphicFrame>
      <xdr:nvGraphicFramePr>
        <xdr:cNvPr id="4" name="Chart 3"/>
        <xdr:cNvGraphicFramePr/>
      </xdr:nvGraphicFramePr>
      <xdr:xfrm>
        <a:off x="635" y="5741035"/>
        <a:ext cx="13413740" cy="6243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254160</xdr:colOff>
      <xdr:row>29</xdr:row>
      <xdr:rowOff>146160</xdr:rowOff>
    </xdr:from>
    <xdr:to>
      <xdr:col>34</xdr:col>
      <xdr:colOff>474840</xdr:colOff>
      <xdr:row>64</xdr:row>
      <xdr:rowOff>32400</xdr:rowOff>
    </xdr:to>
    <xdr:graphicFrame>
      <xdr:nvGraphicFramePr>
        <xdr:cNvPr id="5" name="Chart 4"/>
        <xdr:cNvGraphicFramePr/>
      </xdr:nvGraphicFramePr>
      <xdr:xfrm>
        <a:off x="13595350" y="5683250"/>
        <a:ext cx="7135495" cy="633158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N17"/>
  <sheetViews>
    <sheetView tabSelected="1" workbookViewId="0">
      <pane ySplit="2" topLeftCell="A3" activePane="bottomLeft" state="frozen"/>
      <selection/>
      <selection pane="bottomLeft" activeCell="D22" sqref="D22"/>
    </sheetView>
  </sheetViews>
  <sheetFormatPr defaultColWidth="9" defaultRowHeight="14.5"/>
  <cols>
    <col min="1" max="1" width="10" style="1" customWidth="1"/>
    <col min="2" max="2" width="22" style="1" customWidth="1"/>
    <col min="3" max="4" width="8" style="1" customWidth="1"/>
    <col min="8" max="8" width="7" style="1" customWidth="1"/>
    <col min="9" max="9" width="14" style="1" customWidth="1"/>
    <col min="10" max="10" width="13" style="1" customWidth="1"/>
    <col min="11" max="11" width="8" style="1" customWidth="1"/>
    <col min="12" max="12" width="18" style="1" customWidth="1"/>
  </cols>
  <sheetData>
    <row r="1" ht="31.5" customHeight="1" spans="1:14">
      <c r="A1" s="2" t="s">
        <v>0</v>
      </c>
      <c r="B1" s="2"/>
      <c r="C1" s="2"/>
      <c r="D1" s="2"/>
      <c r="E1" s="2"/>
      <c r="F1" s="2"/>
      <c r="G1" s="2"/>
      <c r="H1" s="2"/>
      <c r="I1" s="2"/>
      <c r="J1" s="2"/>
      <c r="K1" s="2"/>
      <c r="L1" s="2"/>
      <c r="M1" s="2"/>
      <c r="N1" s="2"/>
    </row>
    <row r="2" ht="21.75" customHeight="1" spans="1:14">
      <c r="A2" s="8" t="s">
        <v>1</v>
      </c>
      <c r="B2" s="8" t="s">
        <v>2</v>
      </c>
      <c r="C2" s="8" t="s">
        <v>3</v>
      </c>
      <c r="D2" s="8" t="s">
        <v>4</v>
      </c>
      <c r="E2" s="8" t="s">
        <v>5</v>
      </c>
      <c r="F2" s="8" t="s">
        <v>6</v>
      </c>
      <c r="G2" s="8" t="s">
        <v>7</v>
      </c>
      <c r="H2" s="8" t="s">
        <v>8</v>
      </c>
      <c r="I2" s="8" t="s">
        <v>9</v>
      </c>
      <c r="J2" s="8" t="s">
        <v>10</v>
      </c>
      <c r="K2" s="8" t="s">
        <v>11</v>
      </c>
      <c r="L2" s="8" t="s">
        <v>12</v>
      </c>
    </row>
    <row r="3" ht="14.25" customHeight="1" spans="1:14">
      <c r="A3" s="9" t="s">
        <v>13</v>
      </c>
      <c r="B3" s="10" t="s">
        <v>14</v>
      </c>
      <c r="C3" s="9" t="s">
        <v>15</v>
      </c>
      <c r="D3" s="9">
        <v>95</v>
      </c>
      <c r="E3" s="9">
        <v>88</v>
      </c>
      <c r="F3" s="9">
        <v>91</v>
      </c>
      <c r="G3" s="9">
        <v>85</v>
      </c>
      <c r="H3" s="9">
        <v>90</v>
      </c>
      <c r="I3" s="11">
        <f t="shared" ref="I3:I17" si="0">ROUND(AVERAGE(D3:H3),1)</f>
        <v>89.8</v>
      </c>
      <c r="J3" s="12">
        <v>98</v>
      </c>
      <c r="K3" s="13" t="str">
        <f t="shared" ref="K3:K17" si="1">IF(I3&gt;=80,"A",IF(I3&gt;=70,"B",IF(I3&gt;=60,"C",IF(I3&gt;=50,"D","F"))))</f>
        <v>A</v>
      </c>
      <c r="L3" s="14" t="str">
        <f t="shared" ref="L3:L17" si="2">IF(AND(I3&gt;=70,J3&gt;=80),"Good Standing",IF(OR(I3&lt;50,J3&lt;70),"At Risk","Needs Monitoring"))</f>
        <v>Good Standing</v>
      </c>
    </row>
    <row r="4" ht="14.25" customHeight="1" spans="1:14">
      <c r="A4" s="15" t="s">
        <v>16</v>
      </c>
      <c r="B4" s="16" t="s">
        <v>17</v>
      </c>
      <c r="C4" s="15" t="s">
        <v>15</v>
      </c>
      <c r="D4" s="15">
        <v>62</v>
      </c>
      <c r="E4" s="15">
        <v>55</v>
      </c>
      <c r="F4" s="15">
        <v>70</v>
      </c>
      <c r="G4" s="15">
        <v>60</v>
      </c>
      <c r="H4" s="15">
        <v>65</v>
      </c>
      <c r="I4" s="11">
        <f t="shared" si="0"/>
        <v>62.4</v>
      </c>
      <c r="J4" s="12">
        <v>72</v>
      </c>
      <c r="K4" s="17" t="str">
        <f t="shared" si="1"/>
        <v>C</v>
      </c>
      <c r="L4" s="14" t="str">
        <f t="shared" si="2"/>
        <v>Needs Monitoring</v>
      </c>
    </row>
    <row r="5" ht="14.25" customHeight="1" spans="1:14">
      <c r="A5" s="9" t="s">
        <v>18</v>
      </c>
      <c r="B5" s="10" t="s">
        <v>19</v>
      </c>
      <c r="C5" s="9" t="s">
        <v>20</v>
      </c>
      <c r="D5" s="9">
        <v>88</v>
      </c>
      <c r="E5" s="9">
        <v>92</v>
      </c>
      <c r="F5" s="9">
        <v>85</v>
      </c>
      <c r="G5" s="9">
        <v>90</v>
      </c>
      <c r="H5" s="9">
        <v>87</v>
      </c>
      <c r="I5" s="11">
        <f t="shared" si="0"/>
        <v>88.4</v>
      </c>
      <c r="J5" s="12">
        <v>96</v>
      </c>
      <c r="K5" s="13" t="str">
        <f t="shared" si="1"/>
        <v>A</v>
      </c>
      <c r="L5" s="14" t="str">
        <f t="shared" si="2"/>
        <v>Good Standing</v>
      </c>
    </row>
    <row r="6" ht="14.25" customHeight="1" spans="1:14">
      <c r="A6" s="15" t="s">
        <v>21</v>
      </c>
      <c r="B6" s="16" t="s">
        <v>22</v>
      </c>
      <c r="C6" s="15" t="s">
        <v>20</v>
      </c>
      <c r="D6" s="15">
        <v>45</v>
      </c>
      <c r="E6" s="15">
        <v>40</v>
      </c>
      <c r="F6" s="15">
        <v>50</v>
      </c>
      <c r="G6" s="15">
        <v>35</v>
      </c>
      <c r="H6" s="15">
        <v>42</v>
      </c>
      <c r="I6" s="11">
        <f t="shared" si="0"/>
        <v>42.4</v>
      </c>
      <c r="J6" s="12">
        <v>65</v>
      </c>
      <c r="K6" s="17" t="str">
        <f t="shared" si="1"/>
        <v>F</v>
      </c>
      <c r="L6" s="14" t="str">
        <f t="shared" si="2"/>
        <v>At Risk</v>
      </c>
    </row>
    <row r="7" ht="14.25" customHeight="1" spans="1:14">
      <c r="A7" s="9" t="s">
        <v>23</v>
      </c>
      <c r="B7" s="10" t="s">
        <v>24</v>
      </c>
      <c r="C7" s="9" t="s">
        <v>15</v>
      </c>
      <c r="D7" s="9">
        <v>78</v>
      </c>
      <c r="E7" s="9">
        <v>82</v>
      </c>
      <c r="F7" s="9">
        <v>75</v>
      </c>
      <c r="G7" s="9">
        <v>80</v>
      </c>
      <c r="H7" s="9">
        <v>77</v>
      </c>
      <c r="I7" s="11">
        <f t="shared" si="0"/>
        <v>78.4</v>
      </c>
      <c r="J7" s="12">
        <v>88</v>
      </c>
      <c r="K7" s="13" t="str">
        <f t="shared" si="1"/>
        <v>B</v>
      </c>
      <c r="L7" s="14" t="str">
        <f t="shared" si="2"/>
        <v>Good Standing</v>
      </c>
    </row>
    <row r="8" ht="14.25" customHeight="1" spans="1:14">
      <c r="A8" s="15" t="s">
        <v>25</v>
      </c>
      <c r="B8" s="16" t="s">
        <v>26</v>
      </c>
      <c r="C8" s="15" t="s">
        <v>27</v>
      </c>
      <c r="D8" s="15">
        <v>55</v>
      </c>
      <c r="E8" s="15">
        <v>48</v>
      </c>
      <c r="F8" s="15">
        <v>60</v>
      </c>
      <c r="G8" s="15">
        <v>52</v>
      </c>
      <c r="H8" s="15">
        <v>57</v>
      </c>
      <c r="I8" s="11">
        <f t="shared" si="0"/>
        <v>54.4</v>
      </c>
      <c r="J8" s="12">
        <v>70</v>
      </c>
      <c r="K8" s="17" t="str">
        <f t="shared" si="1"/>
        <v>D</v>
      </c>
      <c r="L8" s="14" t="str">
        <f t="shared" si="2"/>
        <v>Needs Monitoring</v>
      </c>
    </row>
    <row r="9" ht="14.25" customHeight="1" spans="1:14">
      <c r="A9" s="9" t="s">
        <v>28</v>
      </c>
      <c r="B9" s="10" t="s">
        <v>29</v>
      </c>
      <c r="C9" s="9" t="s">
        <v>27</v>
      </c>
      <c r="D9" s="9">
        <v>91</v>
      </c>
      <c r="E9" s="9">
        <v>95</v>
      </c>
      <c r="F9" s="9">
        <v>88</v>
      </c>
      <c r="G9" s="9">
        <v>93</v>
      </c>
      <c r="H9" s="9">
        <v>90</v>
      </c>
      <c r="I9" s="11">
        <f t="shared" si="0"/>
        <v>91.4</v>
      </c>
      <c r="J9" s="12">
        <v>97</v>
      </c>
      <c r="K9" s="13" t="str">
        <f t="shared" si="1"/>
        <v>A</v>
      </c>
      <c r="L9" s="14" t="str">
        <f t="shared" si="2"/>
        <v>Good Standing</v>
      </c>
    </row>
    <row r="10" ht="14.25" customHeight="1" spans="1:14">
      <c r="A10" s="15" t="s">
        <v>30</v>
      </c>
      <c r="B10" s="16" t="s">
        <v>31</v>
      </c>
      <c r="C10" s="15" t="s">
        <v>20</v>
      </c>
      <c r="D10" s="15">
        <v>72</v>
      </c>
      <c r="E10" s="15">
        <v>68</v>
      </c>
      <c r="F10" s="15">
        <v>74</v>
      </c>
      <c r="G10" s="15">
        <v>70</v>
      </c>
      <c r="H10" s="15">
        <v>71</v>
      </c>
      <c r="I10" s="11">
        <f t="shared" si="0"/>
        <v>71</v>
      </c>
      <c r="J10" s="12">
        <v>82</v>
      </c>
      <c r="K10" s="17" t="str">
        <f t="shared" si="1"/>
        <v>B</v>
      </c>
      <c r="L10" s="14" t="str">
        <f t="shared" si="2"/>
        <v>Good Standing</v>
      </c>
    </row>
    <row r="11" ht="14.25" customHeight="1" spans="1:14">
      <c r="A11" s="9" t="s">
        <v>32</v>
      </c>
      <c r="B11" s="10" t="s">
        <v>33</v>
      </c>
      <c r="C11" s="9" t="s">
        <v>15</v>
      </c>
      <c r="D11" s="9">
        <v>38</v>
      </c>
      <c r="E11" s="9">
        <v>35</v>
      </c>
      <c r="F11" s="9">
        <v>42</v>
      </c>
      <c r="G11" s="9">
        <v>30</v>
      </c>
      <c r="H11" s="9">
        <v>40</v>
      </c>
      <c r="I11" s="11">
        <f t="shared" si="0"/>
        <v>37</v>
      </c>
      <c r="J11" s="12">
        <v>60</v>
      </c>
      <c r="K11" s="13" t="str">
        <f t="shared" si="1"/>
        <v>F</v>
      </c>
      <c r="L11" s="14" t="str">
        <f t="shared" si="2"/>
        <v>At Risk</v>
      </c>
    </row>
    <row r="12" ht="14.25" customHeight="1" spans="1:14">
      <c r="A12" s="15" t="s">
        <v>34</v>
      </c>
      <c r="B12" s="16" t="s">
        <v>35</v>
      </c>
      <c r="C12" s="15" t="s">
        <v>27</v>
      </c>
      <c r="D12" s="15">
        <v>83</v>
      </c>
      <c r="E12" s="15">
        <v>87</v>
      </c>
      <c r="F12" s="15">
        <v>80</v>
      </c>
      <c r="G12" s="15">
        <v>85</v>
      </c>
      <c r="H12" s="15">
        <v>82</v>
      </c>
      <c r="I12" s="11">
        <f t="shared" si="0"/>
        <v>83.4</v>
      </c>
      <c r="J12" s="12">
        <v>91</v>
      </c>
      <c r="K12" s="17" t="str">
        <f t="shared" si="1"/>
        <v>A</v>
      </c>
      <c r="L12" s="14" t="str">
        <f t="shared" si="2"/>
        <v>Good Standing</v>
      </c>
    </row>
    <row r="13" ht="14.25" customHeight="1" spans="1:14">
      <c r="A13" s="9" t="s">
        <v>36</v>
      </c>
      <c r="B13" s="10" t="s">
        <v>37</v>
      </c>
      <c r="C13" s="9" t="s">
        <v>20</v>
      </c>
      <c r="D13" s="9">
        <v>67</v>
      </c>
      <c r="E13" s="9">
        <v>72</v>
      </c>
      <c r="F13" s="9">
        <v>65</v>
      </c>
      <c r="G13" s="9">
        <v>70</v>
      </c>
      <c r="H13" s="9">
        <v>68</v>
      </c>
      <c r="I13" s="11">
        <f t="shared" si="0"/>
        <v>68.4</v>
      </c>
      <c r="J13" s="12">
        <v>80</v>
      </c>
      <c r="K13" s="13" t="str">
        <f t="shared" si="1"/>
        <v>C</v>
      </c>
      <c r="L13" s="14" t="str">
        <f t="shared" si="2"/>
        <v>Needs Monitoring</v>
      </c>
    </row>
    <row r="14" ht="14.25" customHeight="1" spans="1:14">
      <c r="A14" s="15" t="s">
        <v>38</v>
      </c>
      <c r="B14" s="16" t="s">
        <v>39</v>
      </c>
      <c r="C14" s="15" t="s">
        <v>15</v>
      </c>
      <c r="D14" s="15">
        <v>50</v>
      </c>
      <c r="E14" s="15">
        <v>45</v>
      </c>
      <c r="F14" s="15">
        <v>55</v>
      </c>
      <c r="G14" s="15">
        <v>48</v>
      </c>
      <c r="H14" s="15">
        <v>52</v>
      </c>
      <c r="I14" s="11">
        <f t="shared" si="0"/>
        <v>50</v>
      </c>
      <c r="J14" s="12">
        <v>68</v>
      </c>
      <c r="K14" s="17" t="str">
        <f t="shared" si="1"/>
        <v>D</v>
      </c>
      <c r="L14" s="14" t="str">
        <f t="shared" si="2"/>
        <v>At Risk</v>
      </c>
    </row>
    <row r="15" ht="14.25" customHeight="1" spans="1:14">
      <c r="A15" s="9" t="s">
        <v>40</v>
      </c>
      <c r="B15" s="10" t="s">
        <v>41</v>
      </c>
      <c r="C15" s="9" t="s">
        <v>27</v>
      </c>
      <c r="D15" s="9">
        <v>94</v>
      </c>
      <c r="E15" s="9">
        <v>90</v>
      </c>
      <c r="F15" s="9">
        <v>92</v>
      </c>
      <c r="G15" s="9">
        <v>88</v>
      </c>
      <c r="H15" s="9">
        <v>93</v>
      </c>
      <c r="I15" s="11">
        <f t="shared" si="0"/>
        <v>91.4</v>
      </c>
      <c r="J15" s="12">
        <v>99</v>
      </c>
      <c r="K15" s="13" t="str">
        <f t="shared" si="1"/>
        <v>A</v>
      </c>
      <c r="L15" s="14" t="str">
        <f t="shared" si="2"/>
        <v>Good Standing</v>
      </c>
    </row>
    <row r="16" ht="14.25" customHeight="1" spans="1:14">
      <c r="A16" s="15" t="s">
        <v>42</v>
      </c>
      <c r="B16" s="16" t="s">
        <v>43</v>
      </c>
      <c r="C16" s="15" t="s">
        <v>20</v>
      </c>
      <c r="D16" s="15">
        <v>76</v>
      </c>
      <c r="E16" s="15">
        <v>80</v>
      </c>
      <c r="F16" s="15">
        <v>73</v>
      </c>
      <c r="G16" s="15">
        <v>78</v>
      </c>
      <c r="H16" s="15">
        <v>75</v>
      </c>
      <c r="I16" s="11">
        <f t="shared" si="0"/>
        <v>76.4</v>
      </c>
      <c r="J16" s="12">
        <v>85</v>
      </c>
      <c r="K16" s="17" t="str">
        <f t="shared" si="1"/>
        <v>B</v>
      </c>
      <c r="L16" s="14" t="str">
        <f t="shared" si="2"/>
        <v>Good Standing</v>
      </c>
    </row>
    <row r="17" ht="14.25" customHeight="1" spans="1:12">
      <c r="A17" s="9" t="s">
        <v>44</v>
      </c>
      <c r="B17" s="10" t="s">
        <v>45</v>
      </c>
      <c r="C17" s="9" t="s">
        <v>15</v>
      </c>
      <c r="D17" s="9">
        <v>60</v>
      </c>
      <c r="E17" s="9">
        <v>57</v>
      </c>
      <c r="F17" s="9">
        <v>62</v>
      </c>
      <c r="G17" s="9">
        <v>55</v>
      </c>
      <c r="H17" s="9">
        <v>58</v>
      </c>
      <c r="I17" s="11">
        <f t="shared" si="0"/>
        <v>58.4</v>
      </c>
      <c r="J17" s="12">
        <v>74</v>
      </c>
      <c r="K17" s="13" t="str">
        <f t="shared" si="1"/>
        <v>D</v>
      </c>
      <c r="L17" s="14" t="str">
        <f t="shared" si="2"/>
        <v>Needs Monitoring</v>
      </c>
    </row>
  </sheetData>
  <mergeCells count="1">
    <mergeCell ref="A1:N1"/>
  </mergeCells>
  <conditionalFormatting sqref="I3:I17">
    <cfRule type="colorScale" priority="5">
      <colorScale>
        <cfvo type="min"/>
        <cfvo type="percentile" val="50"/>
        <cfvo type="max"/>
        <color rgb="FFF8696B"/>
        <color rgb="FFFFEB84"/>
        <color rgb="FF63BE7B"/>
      </colorScale>
    </cfRule>
  </conditionalFormatting>
  <conditionalFormatting sqref="J3:J17">
    <cfRule type="colorScale" priority="6">
      <colorScale>
        <cfvo type="min"/>
        <cfvo type="percentile" val="50"/>
        <cfvo type="max"/>
        <color rgb="FFF8696B"/>
        <color rgb="FFFFEB84"/>
        <color rgb="FF63BE7B"/>
      </colorScale>
    </cfRule>
  </conditionalFormatting>
  <conditionalFormatting sqref="L3:L17">
    <cfRule type="cellIs" dxfId="0" priority="2" operator="equal">
      <formula>"Good Standing"</formula>
    </cfRule>
    <cfRule type="cellIs" dxfId="1" priority="3" operator="equal">
      <formula>"At Risk"</formula>
    </cfRule>
    <cfRule type="cellIs" dxfId="2" priority="4" operator="equal">
      <formula>"Needs Monitoring"</formula>
    </cfRule>
  </conditionalFormatting>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A1" sqref="A1"/>
    </sheetView>
  </sheetViews>
  <sheetFormatPr defaultColWidth="9" defaultRowHeight="14.5" outlineLevelCol="7"/>
  <sheetData>
    <row r="1" ht="14.25" customHeight="1" spans="1:8">
      <c r="A1" s="1" t="s">
        <v>2</v>
      </c>
      <c r="B1" s="1" t="s">
        <v>46</v>
      </c>
      <c r="C1" s="1" t="s">
        <v>10</v>
      </c>
      <c r="E1" s="1" t="s">
        <v>47</v>
      </c>
      <c r="F1" s="1" t="s">
        <v>4</v>
      </c>
      <c r="G1" s="1" t="s">
        <v>5</v>
      </c>
      <c r="H1" s="1" t="s">
        <v>6</v>
      </c>
    </row>
    <row r="2" ht="14.25" customHeight="1" spans="1:8">
      <c r="A2" s="1" t="s">
        <v>48</v>
      </c>
      <c r="B2" s="1">
        <f>'Student Data'!I3</f>
        <v>89.8</v>
      </c>
      <c r="C2" s="1">
        <v>98</v>
      </c>
      <c r="E2" s="1" t="s">
        <v>49</v>
      </c>
      <c r="F2" s="1">
        <v>90.2</v>
      </c>
      <c r="G2" s="1">
        <v>90.4</v>
      </c>
      <c r="H2" s="1">
        <v>87.2</v>
      </c>
    </row>
    <row r="3" ht="14.25" customHeight="1" spans="1:8">
      <c r="A3" s="1" t="s">
        <v>50</v>
      </c>
      <c r="B3" s="1">
        <f>'Student Data'!I4</f>
        <v>62.4</v>
      </c>
      <c r="C3" s="1">
        <v>72</v>
      </c>
      <c r="E3" s="1" t="s">
        <v>51</v>
      </c>
      <c r="F3" s="1">
        <v>41.5</v>
      </c>
      <c r="G3" s="1">
        <v>37.5</v>
      </c>
      <c r="H3" s="1">
        <v>46</v>
      </c>
    </row>
    <row r="4" ht="14.25" customHeight="1" spans="1:8">
      <c r="A4" s="1" t="s">
        <v>52</v>
      </c>
      <c r="B4" s="1">
        <f>'Student Data'!I5</f>
        <v>88.4</v>
      </c>
      <c r="C4" s="1">
        <v>96</v>
      </c>
    </row>
    <row r="5" ht="14.25" customHeight="1" spans="1:8">
      <c r="A5" s="1" t="s">
        <v>53</v>
      </c>
      <c r="B5" s="1">
        <f>'Student Data'!I6</f>
        <v>42.4</v>
      </c>
      <c r="C5" s="1">
        <v>65</v>
      </c>
    </row>
    <row r="6" ht="14.25" customHeight="1" spans="1:8">
      <c r="A6" s="1" t="s">
        <v>54</v>
      </c>
      <c r="B6" s="1">
        <f>'Student Data'!I7</f>
        <v>78.4</v>
      </c>
      <c r="C6" s="1">
        <v>88</v>
      </c>
    </row>
    <row r="7" ht="14.25" customHeight="1" spans="1:8">
      <c r="A7" s="1" t="s">
        <v>55</v>
      </c>
      <c r="B7" s="1">
        <f>'Student Data'!I8</f>
        <v>54.4</v>
      </c>
      <c r="C7" s="1">
        <v>70</v>
      </c>
    </row>
    <row r="8" ht="14.25" customHeight="1" spans="1:8">
      <c r="A8" s="1" t="s">
        <v>56</v>
      </c>
      <c r="B8" s="1">
        <f>'Student Data'!I9</f>
        <v>91.4</v>
      </c>
      <c r="C8" s="1">
        <v>97</v>
      </c>
    </row>
    <row r="9" ht="14.25" customHeight="1" spans="1:8">
      <c r="A9" s="1" t="s">
        <v>57</v>
      </c>
      <c r="B9" s="1">
        <f>'Student Data'!I10</f>
        <v>71</v>
      </c>
      <c r="C9" s="1">
        <v>82</v>
      </c>
    </row>
    <row r="10" ht="14.25" customHeight="1" spans="1:8">
      <c r="A10" s="1" t="s">
        <v>58</v>
      </c>
      <c r="B10" s="1">
        <f>'Student Data'!I11</f>
        <v>37</v>
      </c>
      <c r="C10" s="1">
        <v>60</v>
      </c>
    </row>
    <row r="11" ht="14.25" customHeight="1" spans="1:8">
      <c r="A11" s="1" t="s">
        <v>59</v>
      </c>
      <c r="B11" s="1">
        <f>'Student Data'!I12</f>
        <v>83.4</v>
      </c>
      <c r="C11" s="1">
        <v>91</v>
      </c>
    </row>
    <row r="12" ht="14.25" customHeight="1" spans="1:8">
      <c r="A12" s="1" t="s">
        <v>60</v>
      </c>
      <c r="B12" s="1">
        <f>'Student Data'!I13</f>
        <v>68.4</v>
      </c>
      <c r="C12" s="1">
        <v>80</v>
      </c>
    </row>
    <row r="13" ht="14.25" customHeight="1" spans="1:8">
      <c r="A13" s="1" t="s">
        <v>61</v>
      </c>
      <c r="B13" s="1">
        <f>'Student Data'!I14</f>
        <v>50</v>
      </c>
      <c r="C13" s="1">
        <v>68</v>
      </c>
    </row>
    <row r="14" ht="14.25" customHeight="1" spans="1:8">
      <c r="A14" s="1" t="s">
        <v>62</v>
      </c>
      <c r="B14" s="1">
        <f>'Student Data'!I15</f>
        <v>91.4</v>
      </c>
      <c r="C14" s="1">
        <v>99</v>
      </c>
    </row>
    <row r="15" ht="14.25" customHeight="1" spans="1:8">
      <c r="A15" s="1" t="s">
        <v>63</v>
      </c>
      <c r="B15" s="1">
        <f>'Student Data'!I16</f>
        <v>76.4</v>
      </c>
      <c r="C15" s="1">
        <v>85</v>
      </c>
    </row>
    <row r="16" ht="14.25" customHeight="1" spans="1:8">
      <c r="A16" s="1" t="s">
        <v>64</v>
      </c>
      <c r="B16" s="1">
        <f>'Student Data'!I17</f>
        <v>58.4</v>
      </c>
      <c r="C16" s="1">
        <v>74</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75623"/>
  </sheetPr>
  <dimension ref="A1:P1"/>
  <sheetViews>
    <sheetView topLeftCell="A20" workbookViewId="0">
      <selection activeCell="A1" sqref="A1:P1"/>
    </sheetView>
  </sheetViews>
  <sheetFormatPr defaultColWidth="9" defaultRowHeight="14.5"/>
  <cols>
    <col min="1" max="16" width="8" style="1" customWidth="1"/>
  </cols>
  <sheetData>
    <row r="1" ht="30" customHeight="1" spans="1:16">
      <c r="A1" s="2" t="s">
        <v>65</v>
      </c>
      <c r="B1" s="2"/>
      <c r="C1" s="2"/>
      <c r="D1" s="2"/>
      <c r="E1" s="2"/>
      <c r="F1" s="2"/>
      <c r="G1" s="2"/>
      <c r="H1" s="2"/>
      <c r="I1" s="2"/>
      <c r="J1" s="2"/>
      <c r="K1" s="2"/>
      <c r="L1" s="2"/>
      <c r="M1" s="2"/>
      <c r="N1" s="2"/>
      <c r="O1" s="2"/>
      <c r="P1" s="2"/>
    </row>
  </sheetData>
  <mergeCells count="1">
    <mergeCell ref="A1:P1"/>
  </mergeCells>
  <pageMargins left="0.75" right="0.75" top="1" bottom="1"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B1:C21"/>
  <sheetViews>
    <sheetView topLeftCell="A4" workbookViewId="0">
      <selection activeCell="C17" sqref="C17"/>
    </sheetView>
  </sheetViews>
  <sheetFormatPr defaultColWidth="9" defaultRowHeight="14.5" outlineLevelCol="2"/>
  <cols>
    <col min="1" max="1" width="3" style="1" customWidth="1"/>
    <col min="2" max="2" width="28" style="1" customWidth="1"/>
    <col min="3" max="3" width="70" style="1" customWidth="1"/>
    <col min="4" max="4" width="3" style="1" customWidth="1"/>
  </cols>
  <sheetData>
    <row r="1" ht="33.75" customHeight="1" spans="2:3">
      <c r="B1" s="2" t="s">
        <v>66</v>
      </c>
      <c r="C1" s="2"/>
    </row>
    <row r="3" ht="24" customHeight="1" spans="2:3">
      <c r="B3" s="3" t="s">
        <v>67</v>
      </c>
      <c r="C3" s="3"/>
    </row>
    <row r="4" ht="51.75" customHeight="1" spans="2:3">
      <c r="B4" s="4" t="s">
        <v>68</v>
      </c>
      <c r="C4" s="5" t="s">
        <v>69</v>
      </c>
    </row>
    <row r="5" ht="51.75" customHeight="1" spans="2:3">
      <c r="B5" s="4" t="s">
        <v>70</v>
      </c>
      <c r="C5" s="5" t="s">
        <v>71</v>
      </c>
    </row>
    <row r="6" ht="51.75" customHeight="1" spans="2:3">
      <c r="B6" s="4" t="s">
        <v>72</v>
      </c>
      <c r="C6" s="5" t="s">
        <v>73</v>
      </c>
    </row>
    <row r="8" ht="24" customHeight="1" spans="2:3">
      <c r="B8" s="6" t="s">
        <v>74</v>
      </c>
      <c r="C8" s="6"/>
    </row>
    <row r="9" ht="51.75" customHeight="1" spans="2:3">
      <c r="B9" s="4" t="s">
        <v>75</v>
      </c>
      <c r="C9" s="5" t="s">
        <v>76</v>
      </c>
    </row>
    <row r="10" ht="51.75" customHeight="1" spans="2:3">
      <c r="B10" s="4" t="s">
        <v>77</v>
      </c>
      <c r="C10" s="5" t="s">
        <v>78</v>
      </c>
    </row>
    <row r="11" ht="51.75" customHeight="1" spans="2:3">
      <c r="B11" s="4" t="s">
        <v>79</v>
      </c>
      <c r="C11" s="5" t="s">
        <v>80</v>
      </c>
    </row>
    <row r="12" ht="51.75" customHeight="1" spans="2:3">
      <c r="B12" s="4" t="s">
        <v>81</v>
      </c>
      <c r="C12" s="5" t="s">
        <v>82</v>
      </c>
    </row>
    <row r="13" ht="51.75" customHeight="1" spans="2:3">
      <c r="B13" s="4" t="s">
        <v>83</v>
      </c>
      <c r="C13" s="5" t="s">
        <v>84</v>
      </c>
    </row>
    <row r="15" ht="24" customHeight="1" spans="2:3">
      <c r="B15" s="7" t="s">
        <v>85</v>
      </c>
      <c r="C15" s="7"/>
    </row>
    <row r="16" ht="51.75" customHeight="1" spans="2:3">
      <c r="B16" s="4" t="s">
        <v>86</v>
      </c>
      <c r="C16" s="5" t="s">
        <v>87</v>
      </c>
    </row>
    <row r="17" ht="51.75" customHeight="1" spans="2:3">
      <c r="B17" s="4" t="s">
        <v>88</v>
      </c>
      <c r="C17" s="5" t="s">
        <v>89</v>
      </c>
    </row>
    <row r="18" ht="51.75" customHeight="1" spans="2:3">
      <c r="B18" s="4" t="s">
        <v>90</v>
      </c>
      <c r="C18" s="5" t="s">
        <v>91</v>
      </c>
    </row>
    <row r="19" ht="51.75" customHeight="1" spans="2:3">
      <c r="B19" s="4" t="s">
        <v>92</v>
      </c>
      <c r="C19" s="5" t="s">
        <v>93</v>
      </c>
    </row>
    <row r="20" ht="51.75" customHeight="1" spans="2:3">
      <c r="B20" s="4" t="s">
        <v>94</v>
      </c>
      <c r="C20" s="5" t="s">
        <v>95</v>
      </c>
    </row>
    <row r="21" ht="51.75" customHeight="1" spans="2:3">
      <c r="B21" s="4" t="s">
        <v>96</v>
      </c>
      <c r="C21" s="5" t="s">
        <v>97</v>
      </c>
    </row>
  </sheetData>
  <mergeCells count="4">
    <mergeCell ref="B1:C1"/>
    <mergeCell ref="B3:C3"/>
    <mergeCell ref="B8:C8"/>
    <mergeCell ref="B15:C15"/>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Student Data</vt:lpstr>
      <vt:lpstr>Chart Data</vt:lpstr>
      <vt:lpstr>Charts</vt:lpstr>
      <vt:lpstr>Summary &amp; Observations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Pelumi Fiyin</cp:lastModifiedBy>
  <cp:revision>2</cp:revision>
  <dcterms:created xsi:type="dcterms:W3CDTF">2026-03-28T01:17:00Z</dcterms:created>
  <dcterms:modified xsi:type="dcterms:W3CDTF">2026-03-28T08:31:15Z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6B4567EA4D81486C96E7CE5AC6675686_12</vt:lpwstr>
  </property>
  <property fmtid="{D5CDD505-2E9C-101B-9397-08002B2CF9AE}" pid="4" name="KSOProductBuildVer">
    <vt:lpwstr>1033-12.1.0.25242</vt:lpwstr>
  </property>
</Properties>
</file>